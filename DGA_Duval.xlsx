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GA Data" sheetId="1" state="visible" r:id="rId1"/>
    <sheet name="Duval Triang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7030A0"/>
      <sz val="10"/>
    </font>
    <font>
      <name val="Arial"/>
      <b val="1"/>
      <color rgb="00FFFFFF"/>
      <sz val="14"/>
    </font>
    <font>
      <name val="Arial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375623"/>
      </patternFill>
    </fill>
    <fill>
      <patternFill patternType="solid">
        <fgColor rgb="00A9D18E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2E75B6"/>
      </patternFill>
    </fill>
    <fill>
      <patternFill patternType="solid">
        <fgColor rgb="00FFC000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7" fillId="2" borderId="0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3" fillId="1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16944975" cy="114966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22" customWidth="1" min="4" max="4"/>
    <col width="18" customWidth="1" min="5" max="5"/>
    <col width="18" customWidth="1" min="6" max="6"/>
  </cols>
  <sheetData>
    <row r="1" ht="28" customHeight="1">
      <c r="A1" s="1" t="inlineStr">
        <is>
          <t>Dissolved Gas Analysis (DGA) Report — Transformer Oil Test</t>
        </is>
      </c>
    </row>
    <row r="3">
      <c r="A3" s="2" t="inlineStr">
        <is>
          <t>Gas</t>
        </is>
      </c>
      <c r="B3" s="2" t="inlineStr">
        <is>
          <t>Symbol</t>
        </is>
      </c>
      <c r="C3" s="2" t="inlineStr">
        <is>
          <t>Unit</t>
        </is>
      </c>
      <c r="D3" s="2" t="inlineStr">
        <is>
          <t>Measured Value (ppm)</t>
        </is>
      </c>
      <c r="E3" s="2" t="inlineStr">
        <is>
          <t>Limit (ppm)</t>
        </is>
      </c>
      <c r="F3" s="2" t="inlineStr">
        <is>
          <t>Status</t>
        </is>
      </c>
    </row>
    <row r="4">
      <c r="A4" s="3" t="inlineStr">
        <is>
          <t>Total Gas Content (TGC)</t>
        </is>
      </c>
      <c r="B4" s="4" t="inlineStr">
        <is>
          <t>TGC</t>
        </is>
      </c>
      <c r="C4" s="4" t="inlineStr">
        <is>
          <t>% v/v</t>
        </is>
      </c>
      <c r="D4" s="5" t="n">
        <v>5</v>
      </c>
      <c r="E4" s="4" t="inlineStr">
        <is>
          <t>NS</t>
        </is>
      </c>
      <c r="F4" s="4" t="inlineStr">
        <is>
          <t>Not Specified</t>
        </is>
      </c>
    </row>
    <row r="5">
      <c r="A5" s="6" t="inlineStr">
        <is>
          <t>Hydrogen</t>
        </is>
      </c>
      <c r="B5" s="7" t="inlineStr">
        <is>
          <t>H₂</t>
        </is>
      </c>
      <c r="C5" s="7" t="inlineStr">
        <is>
          <t>ppm</t>
        </is>
      </c>
      <c r="D5" s="8" t="n">
        <v>0.3</v>
      </c>
      <c r="E5" s="7" t="inlineStr">
        <is>
          <t>50 Max</t>
        </is>
      </c>
      <c r="F5" s="7" t="inlineStr">
        <is>
          <t>Acceptable</t>
        </is>
      </c>
    </row>
    <row r="6">
      <c r="A6" s="3" t="inlineStr">
        <is>
          <t>Oxygen</t>
        </is>
      </c>
      <c r="B6" s="4" t="inlineStr">
        <is>
          <t>O₂</t>
        </is>
      </c>
      <c r="C6" s="4" t="inlineStr">
        <is>
          <t>ppm</t>
        </is>
      </c>
      <c r="D6" s="5" t="n">
        <v>1548</v>
      </c>
      <c r="E6" s="4" t="inlineStr">
        <is>
          <t>NS</t>
        </is>
      </c>
      <c r="F6" s="4" t="inlineStr">
        <is>
          <t>Not Specified</t>
        </is>
      </c>
    </row>
    <row r="7">
      <c r="A7" s="3" t="inlineStr">
        <is>
          <t>Nitrogen</t>
        </is>
      </c>
      <c r="B7" s="4" t="inlineStr">
        <is>
          <t>N₂</t>
        </is>
      </c>
      <c r="C7" s="4" t="inlineStr">
        <is>
          <t>ppm</t>
        </is>
      </c>
      <c r="D7" s="5" t="n">
        <v>47869.85</v>
      </c>
      <c r="E7" s="4" t="inlineStr">
        <is>
          <t>NS</t>
        </is>
      </c>
      <c r="F7" s="4" t="inlineStr">
        <is>
          <t>Not Specified</t>
        </is>
      </c>
    </row>
    <row r="8">
      <c r="A8" s="6" t="inlineStr">
        <is>
          <t>Carbon Monoxide</t>
        </is>
      </c>
      <c r="B8" s="7" t="inlineStr">
        <is>
          <t>CO</t>
        </is>
      </c>
      <c r="C8" s="7" t="inlineStr">
        <is>
          <t>ppm</t>
        </is>
      </c>
      <c r="D8" s="8" t="n">
        <v>22.15</v>
      </c>
      <c r="E8" s="7" t="inlineStr">
        <is>
          <t>400 Max</t>
        </is>
      </c>
      <c r="F8" s="7" t="inlineStr">
        <is>
          <t>Acceptable</t>
        </is>
      </c>
    </row>
    <row r="9">
      <c r="A9" s="6" t="inlineStr">
        <is>
          <t>Methane</t>
        </is>
      </c>
      <c r="B9" s="7" t="inlineStr">
        <is>
          <t>CH₄</t>
        </is>
      </c>
      <c r="C9" s="7" t="inlineStr">
        <is>
          <t>ppm</t>
        </is>
      </c>
      <c r="D9" s="8" t="n">
        <v>0.65</v>
      </c>
      <c r="E9" s="7" t="inlineStr">
        <is>
          <t>30 Max</t>
        </is>
      </c>
      <c r="F9" s="7" t="inlineStr">
        <is>
          <t>Acceptable</t>
        </is>
      </c>
    </row>
    <row r="10">
      <c r="A10" s="6" t="inlineStr">
        <is>
          <t>Carbon Dioxide</t>
        </is>
      </c>
      <c r="B10" s="7" t="inlineStr">
        <is>
          <t>CO₂</t>
        </is>
      </c>
      <c r="C10" s="7" t="inlineStr">
        <is>
          <t>ppm</t>
        </is>
      </c>
      <c r="D10" s="8" t="n">
        <v>486.75</v>
      </c>
      <c r="E10" s="7" t="inlineStr">
        <is>
          <t>3800 Max</t>
        </is>
      </c>
      <c r="F10" s="7" t="inlineStr">
        <is>
          <t>Acceptable</t>
        </is>
      </c>
    </row>
    <row r="11">
      <c r="A11" s="6" t="inlineStr">
        <is>
          <t>Ethylene</t>
        </is>
      </c>
      <c r="B11" s="7" t="inlineStr">
        <is>
          <t>C₂H₄</t>
        </is>
      </c>
      <c r="C11" s="7" t="inlineStr">
        <is>
          <t>ppm</t>
        </is>
      </c>
      <c r="D11" s="8" t="n">
        <v>0.4</v>
      </c>
      <c r="E11" s="7" t="inlineStr">
        <is>
          <t>60 Max</t>
        </is>
      </c>
      <c r="F11" s="7" t="inlineStr">
        <is>
          <t>Acceptable</t>
        </is>
      </c>
    </row>
    <row r="12">
      <c r="A12" s="6" t="inlineStr">
        <is>
          <t>Ethane</t>
        </is>
      </c>
      <c r="B12" s="7" t="inlineStr">
        <is>
          <t>C₂H₆</t>
        </is>
      </c>
      <c r="C12" s="7" t="inlineStr">
        <is>
          <t>ppm</t>
        </is>
      </c>
      <c r="D12" s="8" t="n">
        <v>0.1</v>
      </c>
      <c r="E12" s="7" t="inlineStr">
        <is>
          <t>20 Max</t>
        </is>
      </c>
      <c r="F12" s="7" t="inlineStr">
        <is>
          <t>Acceptable</t>
        </is>
      </c>
    </row>
    <row r="13">
      <c r="A13" s="6" t="inlineStr">
        <is>
          <t>Acetylene</t>
        </is>
      </c>
      <c r="B13" s="7" t="inlineStr">
        <is>
          <t>C₂H₂</t>
        </is>
      </c>
      <c r="C13" s="7" t="inlineStr">
        <is>
          <t>ppm</t>
        </is>
      </c>
      <c r="D13" s="8" t="n">
        <v>0</v>
      </c>
      <c r="E13" s="7" t="inlineStr">
        <is>
          <t>2 Max</t>
        </is>
      </c>
      <c r="F13" s="7" t="inlineStr">
        <is>
          <t>Acceptable</t>
        </is>
      </c>
    </row>
    <row r="14">
      <c r="A14" s="3" t="inlineStr">
        <is>
          <t>Propylene</t>
        </is>
      </c>
      <c r="B14" s="4" t="inlineStr">
        <is>
          <t>C₃H₆</t>
        </is>
      </c>
      <c r="C14" s="4" t="inlineStr">
        <is>
          <t>ppm</t>
        </is>
      </c>
      <c r="D14" s="5" t="n">
        <v>0.15</v>
      </c>
      <c r="E14" s="4" t="inlineStr">
        <is>
          <t>NS</t>
        </is>
      </c>
      <c r="F14" s="4" t="inlineStr">
        <is>
          <t>Not Specified</t>
        </is>
      </c>
    </row>
    <row r="15">
      <c r="A15" s="3" t="inlineStr">
        <is>
          <t>Propane</t>
        </is>
      </c>
      <c r="B15" s="4" t="inlineStr">
        <is>
          <t>C₃H₈</t>
        </is>
      </c>
      <c r="C15" s="4" t="inlineStr">
        <is>
          <t>ppm</t>
        </is>
      </c>
      <c r="D15" s="5" t="n">
        <v>0.2</v>
      </c>
      <c r="E15" s="4" t="inlineStr">
        <is>
          <t>NS</t>
        </is>
      </c>
      <c r="F15" s="4" t="inlineStr">
        <is>
          <t>Not Specified</t>
        </is>
      </c>
    </row>
    <row r="16">
      <c r="A16" s="3" t="inlineStr">
        <is>
          <t>Total Dissolved Combustible Gas</t>
        </is>
      </c>
      <c r="B16" s="4" t="inlineStr">
        <is>
          <t>TDCG</t>
        </is>
      </c>
      <c r="C16" s="4" t="inlineStr">
        <is>
          <t>mg/kg</t>
        </is>
      </c>
      <c r="D16" s="5" t="n">
        <v>23.95</v>
      </c>
      <c r="E16" s="4" t="inlineStr">
        <is>
          <t>NS</t>
        </is>
      </c>
      <c r="F16" s="4" t="inlineStr">
        <is>
          <t>Not Specified</t>
        </is>
      </c>
    </row>
    <row r="17">
      <c r="A17" s="6" t="inlineStr">
        <is>
          <t>TDCG/TGC</t>
        </is>
      </c>
      <c r="B17" s="7" t="inlineStr">
        <is>
          <t>Ratio</t>
        </is>
      </c>
      <c r="C17" s="7" t="inlineStr">
        <is>
          <t>%</t>
        </is>
      </c>
      <c r="D17" s="8" t="n">
        <v>0.048</v>
      </c>
      <c r="E17" s="7" t="inlineStr">
        <is>
          <t>8% max</t>
        </is>
      </c>
      <c r="F17" s="7" t="inlineStr">
        <is>
          <t>Acceptable</t>
        </is>
      </c>
    </row>
    <row r="20">
      <c r="A20" s="9" t="inlineStr">
        <is>
          <t>Duval's Triangle Key Gases (CH₄, C₂H₄, C₂H₂)</t>
        </is>
      </c>
    </row>
    <row r="21">
      <c r="A21" s="10" t="inlineStr">
        <is>
          <t>Parameter</t>
        </is>
      </c>
      <c r="B21" s="10" t="inlineStr">
        <is>
          <t>Gas</t>
        </is>
      </c>
      <c r="C21" s="10" t="inlineStr">
        <is>
          <t>Value (ppm)</t>
        </is>
      </c>
      <c r="D21" s="10" t="inlineStr">
        <is>
          <t>% of Sum</t>
        </is>
      </c>
      <c r="E21" s="10" t="inlineStr">
        <is>
          <t>Duval X-coord Input</t>
        </is>
      </c>
      <c r="F21" s="10" t="inlineStr">
        <is>
          <t>Duval Y-coord Input</t>
        </is>
      </c>
    </row>
    <row r="22">
      <c r="A22" s="3" t="inlineStr">
        <is>
          <t>Methane</t>
        </is>
      </c>
      <c r="B22" s="4" t="inlineStr">
        <is>
          <t>CH₄</t>
        </is>
      </c>
      <c r="C22" s="4">
        <f>D9</f>
        <v/>
      </c>
      <c r="D22" s="11">
        <f>IF(C25=0,0,C22/C25*100)</f>
        <v/>
      </c>
      <c r="E22" s="4" t="inlineStr">
        <is>
          <t>N/A</t>
        </is>
      </c>
      <c r="F22" s="4" t="inlineStr">
        <is>
          <t>N/A</t>
        </is>
      </c>
    </row>
    <row r="23">
      <c r="A23" s="3" t="inlineStr">
        <is>
          <t>Ethylene</t>
        </is>
      </c>
      <c r="B23" s="4" t="inlineStr">
        <is>
          <t>C₂H₄</t>
        </is>
      </c>
      <c r="C23" s="4">
        <f>D11</f>
        <v/>
      </c>
      <c r="D23" s="11">
        <f>IF(C25=0,0,C23/C25*100)</f>
        <v/>
      </c>
      <c r="E23" s="4">
        <f>D23+D24</f>
        <v/>
      </c>
      <c r="F23" s="4" t="inlineStr">
        <is>
          <t>N/A</t>
        </is>
      </c>
    </row>
    <row r="24">
      <c r="A24" s="3" t="inlineStr">
        <is>
          <t>Acetylene</t>
        </is>
      </c>
      <c r="B24" s="4" t="inlineStr">
        <is>
          <t>C₂H₂</t>
        </is>
      </c>
      <c r="C24" s="4">
        <f>D13</f>
        <v/>
      </c>
      <c r="D24" s="11">
        <f>IF(C25=0,0,C24/C25*100)</f>
        <v/>
      </c>
      <c r="E24" s="4" t="inlineStr">
        <is>
          <t>N/A</t>
        </is>
      </c>
      <c r="F24" s="4">
        <f>D24</f>
        <v/>
      </c>
    </row>
    <row r="25">
      <c r="A25" s="12" t="inlineStr">
        <is>
          <t>Sum</t>
        </is>
      </c>
      <c r="B25" s="4" t="n"/>
      <c r="C25" s="13">
        <f>SUM(C22:C24)</f>
        <v/>
      </c>
      <c r="D25" s="11" t="n"/>
      <c r="E25" s="4" t="n"/>
      <c r="F25" s="4" t="n"/>
    </row>
    <row r="27">
      <c r="A27" s="14" t="inlineStr">
        <is>
          <t>Duval Fault Zone: D2 — High Energy Electrical Discharge (Arc)</t>
        </is>
      </c>
      <c r="B27" s="15" t="n"/>
      <c r="C27" s="15" t="n"/>
      <c r="D27" s="15" t="n"/>
      <c r="E27" s="15" t="n"/>
      <c r="F27" s="16" t="n"/>
    </row>
  </sheetData>
  <mergeCells count="3">
    <mergeCell ref="A20:F20"/>
    <mergeCell ref="A1:F1"/>
    <mergeCell ref="A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 ht="28" customHeight="1">
      <c r="A1" s="17" t="inlineStr">
        <is>
          <t>Duval's Triangle — IEC 60599 Fault Zone Analysis</t>
        </is>
      </c>
    </row>
    <row r="3">
      <c r="A3" s="18" t="inlineStr">
        <is>
          <t>Gas</t>
        </is>
      </c>
      <c r="B3" s="18" t="inlineStr">
        <is>
          <t>Value (ppm)</t>
        </is>
      </c>
      <c r="C3" s="18" t="inlineStr">
        <is>
          <t>% Contribution</t>
        </is>
      </c>
    </row>
    <row r="4">
      <c r="A4" s="19" t="inlineStr">
        <is>
          <t>Methane (CH₄)</t>
        </is>
      </c>
      <c r="B4" s="19" t="inlineStr">
        <is>
          <t>1.15</t>
        </is>
      </c>
      <c r="C4" s="19" t="inlineStr">
        <is>
          <t>24.73%</t>
        </is>
      </c>
    </row>
    <row r="5">
      <c r="A5" s="19" t="inlineStr">
        <is>
          <t>Ethylene (C₂H₄)</t>
        </is>
      </c>
      <c r="B5" s="19" t="inlineStr">
        <is>
          <t>1.85</t>
        </is>
      </c>
      <c r="C5" s="19" t="inlineStr">
        <is>
          <t>39.78%</t>
        </is>
      </c>
    </row>
    <row r="6">
      <c r="A6" s="19" t="inlineStr">
        <is>
          <t>Acetylene (C₂H₂)</t>
        </is>
      </c>
      <c r="B6" s="19" t="inlineStr">
        <is>
          <t>1.65</t>
        </is>
      </c>
      <c r="C6" s="19" t="inlineStr">
        <is>
          <t>35.48%</t>
        </is>
      </c>
    </row>
    <row r="7">
      <c r="A7" s="19" t="inlineStr">
        <is>
          <t>Total</t>
        </is>
      </c>
      <c r="B7" s="19" t="inlineStr">
        <is>
          <t>4.65</t>
        </is>
      </c>
      <c r="C7" s="19" t="inlineStr">
        <is>
          <t>100.00%</t>
        </is>
      </c>
    </row>
    <row r="8">
      <c r="A8" s="19" t="inlineStr"/>
      <c r="B8" s="19" t="inlineStr"/>
      <c r="C8" s="19" t="inlineStr"/>
    </row>
    <row r="9">
      <c r="A9" s="20" t="inlineStr">
        <is>
          <t>Duval Zone</t>
        </is>
      </c>
      <c r="B9" s="20" t="inlineStr">
        <is>
          <t>D2</t>
        </is>
      </c>
      <c r="C9" s="20" t="inlineStr">
        <is>
          <t>High Energy Electrical Discharge (Arc)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2026-05-11T07:27:46Z</dcterms:created>
  <dcterms:modified xsi:type="dcterms:W3CDTF">2026-06-05T07:17:57Z</dcterms:modified>
</cp:coreProperties>
</file>